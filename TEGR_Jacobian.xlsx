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arameters" sheetId="1" state="visible" r:id="rId1"/>
    <sheet name="Tetrad" sheetId="2" state="visible" r:id="rId2"/>
    <sheet name="Connections" sheetId="3" state="visible" r:id="rId3"/>
    <sheet name="Jacobian" sheetId="4" state="visible" r:id="rId4"/>
    <sheet name="Analysi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0.000000"/>
    <numFmt numFmtId="165" formatCode="0.000000E+00"/>
  </numFmts>
  <fonts count="10">
    <font>
      <name val="Calibri"/>
      <family val="2"/>
      <color theme="1"/>
      <sz val="11"/>
      <scheme val="minor"/>
    </font>
    <font>
      <b val="1"/>
      <color rgb="00FFFFFF"/>
      <sz val="13"/>
    </font>
    <font>
      <b val="1"/>
      <color rgb="00FFFFFF"/>
      <sz val="10"/>
    </font>
    <font>
      <color rgb="00000000"/>
      <sz val="10"/>
    </font>
    <font>
      <b val="1"/>
      <color rgb="00FFFFFF"/>
      <sz val="12"/>
    </font>
    <font>
      <b val="1"/>
      <color rgb="00000000"/>
      <sz val="10"/>
    </font>
    <font>
      <color rgb="004A4A4A"/>
      <sz val="9"/>
    </font>
    <font>
      <b val="1"/>
      <color rgb="00000000"/>
      <sz val="9"/>
    </font>
    <font>
      <b val="1"/>
      <color rgb="00FFFFFF"/>
      <sz val="9"/>
    </font>
    <font>
      <color rgb="00000000"/>
      <sz val="9"/>
    </font>
  </fonts>
  <fills count="10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2E75B6"/>
      </patternFill>
    </fill>
    <fill>
      <patternFill patternType="solid">
        <fgColor rgb="00D6E4F7"/>
      </patternFill>
    </fill>
    <fill>
      <patternFill patternType="solid">
        <fgColor rgb="00E2EFDA"/>
      </patternFill>
    </fill>
    <fill>
      <patternFill patternType="solid">
        <fgColor rgb="00F2F2F2"/>
      </patternFill>
    </fill>
    <fill>
      <patternFill patternType="solid">
        <fgColor rgb="00EBF3FA"/>
      </patternFill>
    </fill>
    <fill>
      <patternFill patternType="solid">
        <fgColor rgb="00FFE0B2"/>
      </patternFill>
    </fill>
    <fill>
      <patternFill patternType="solid">
        <fgColor rgb="00FFFDE7"/>
      </patternFill>
    </fill>
  </fills>
  <borders count="2">
    <border>
      <left/>
      <right/>
      <top/>
      <bottom/>
      <diagonal/>
    </border>
    <border>
      <left style="thin">
        <color rgb="00BDBDBD"/>
      </left>
      <right style="thin">
        <color rgb="00BDBDBD"/>
      </right>
      <top style="thin">
        <color rgb="00BDBDBD"/>
      </top>
      <bottom style="thin">
        <color rgb="00BDBDBD"/>
      </bottom>
    </border>
  </borders>
  <cellStyleXfs count="1">
    <xf numFmtId="0" fontId="0" fillId="0" borderId="0"/>
  </cellStyleXfs>
  <cellXfs count="24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3" borderId="0" applyAlignment="1" pivotButton="0" quotePrefix="0" xfId="0">
      <alignment horizontal="left" vertical="center" wrapText="1"/>
    </xf>
    <xf numFmtId="0" fontId="3" fillId="4" borderId="1" applyAlignment="1" pivotButton="0" quotePrefix="0" xfId="0">
      <alignment horizontal="left" vertical="center" wrapText="1"/>
    </xf>
    <xf numFmtId="164" fontId="3" fillId="4" borderId="1" applyAlignment="1" pivotButton="0" quotePrefix="0" xfId="0">
      <alignment horizontal="left" vertical="center" wrapText="1"/>
    </xf>
    <xf numFmtId="0" fontId="3" fillId="5" borderId="1" applyAlignment="1" pivotButton="0" quotePrefix="0" xfId="0">
      <alignment horizontal="left" vertical="center" wrapText="1"/>
    </xf>
    <xf numFmtId="164" fontId="3" fillId="5" borderId="1" applyAlignment="1" pivotButton="0" quotePrefix="0" xfId="0">
      <alignment horizontal="left" vertical="center" wrapText="1"/>
    </xf>
    <xf numFmtId="165" fontId="3" fillId="5" borderId="1" applyAlignment="1" pivotButton="0" quotePrefix="0" xfId="0">
      <alignment horizontal="left" vertical="center" wrapText="1"/>
    </xf>
    <xf numFmtId="0" fontId="4" fillId="2" borderId="0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center" vertical="center" wrapText="1"/>
    </xf>
    <xf numFmtId="0" fontId="5" fillId="4" borderId="1" pivotButton="0" quotePrefix="0" xfId="0"/>
    <xf numFmtId="164" fontId="0" fillId="5" borderId="1" applyAlignment="1" pivotButton="0" quotePrefix="0" xfId="0">
      <alignment horizontal="center" vertical="center" wrapText="1"/>
    </xf>
    <xf numFmtId="164" fontId="0" fillId="6" borderId="1" applyAlignment="1" pivotButton="0" quotePrefix="0" xfId="0">
      <alignment horizontal="center" vertical="center" wrapText="1"/>
    </xf>
    <xf numFmtId="165" fontId="0" fillId="5" borderId="1" pivotButton="0" quotePrefix="0" xfId="0"/>
    <xf numFmtId="0" fontId="0" fillId="0" borderId="1" pivotButton="0" quotePrefix="0" xfId="0"/>
    <xf numFmtId="0" fontId="0" fillId="4" borderId="1" applyAlignment="1" pivotButton="0" quotePrefix="0" xfId="0">
      <alignment horizontal="left" vertical="center" wrapText="1"/>
    </xf>
    <xf numFmtId="0" fontId="6" fillId="7" borderId="0" applyAlignment="1" pivotButton="0" quotePrefix="0" xfId="0">
      <alignment horizontal="left" vertical="center" wrapText="1"/>
    </xf>
    <xf numFmtId="0" fontId="7" fillId="2" borderId="1" applyAlignment="1" pivotButton="0" quotePrefix="0" xfId="0">
      <alignment horizontal="center" vertical="center" wrapText="1"/>
    </xf>
    <xf numFmtId="0" fontId="8" fillId="2" borderId="1" applyAlignment="1" pivotButton="0" quotePrefix="0" xfId="0">
      <alignment horizontal="center" vertical="center" wrapText="1"/>
    </xf>
    <xf numFmtId="0" fontId="8" fillId="3" borderId="1" applyAlignment="1" pivotButton="0" quotePrefix="0" xfId="0">
      <alignment horizontal="left" vertical="center" wrapText="1"/>
    </xf>
    <xf numFmtId="165" fontId="9" fillId="8" borderId="1" applyAlignment="1" pivotButton="0" quotePrefix="0" xfId="0">
      <alignment horizontal="center" vertical="center" wrapText="1"/>
    </xf>
    <xf numFmtId="165" fontId="9" fillId="6" borderId="1" applyAlignment="1" pivotButton="0" quotePrefix="0" xfId="0">
      <alignment horizontal="center" vertical="center" wrapText="1"/>
    </xf>
    <xf numFmtId="165" fontId="9" fillId="9" borderId="1" applyAlignment="1" pivotButton="0" quotePrefix="0" xfId="0">
      <alignment horizontal="center" vertical="center" wrapText="1"/>
    </xf>
    <xf numFmtId="0" fontId="0" fillId="4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5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24" customWidth="1" min="2" max="2"/>
    <col width="22" customWidth="1" min="3" max="3"/>
    <col width="50" customWidth="1" min="4" max="4"/>
  </cols>
  <sheetData>
    <row r="1" ht="26" customHeight="1">
      <c r="A1" s="1" t="inlineStr">
        <is>
          <t>TEGR Jacobian — Relativistic Particle Dynamics in Teleparallel Equivalent of General Relativity</t>
        </is>
      </c>
    </row>
    <row r="2" ht="18" customHeight="1">
      <c r="A2" s="2" t="inlineStr">
        <is>
          <t>Physical Constants  (Geometrized Units: G = c = 1)</t>
        </is>
      </c>
    </row>
    <row r="3">
      <c r="A3" s="3" t="inlineStr">
        <is>
          <t>G — Gravitational constant</t>
        </is>
      </c>
      <c r="B3" s="4" t="n">
        <v>1</v>
      </c>
      <c r="C3" s="3" t="inlineStr">
        <is>
          <t>dimensionless</t>
        </is>
      </c>
      <c r="D3" s="3" t="inlineStr">
        <is>
          <t>Geometric units G = 1</t>
        </is>
      </c>
    </row>
    <row r="4">
      <c r="A4" s="3" t="inlineStr">
        <is>
          <t>c — Speed of light</t>
        </is>
      </c>
      <c r="B4" s="4" t="n">
        <v>1</v>
      </c>
      <c r="C4" s="3" t="inlineStr">
        <is>
          <t>dimensionless</t>
        </is>
      </c>
      <c r="D4" s="3" t="inlineStr">
        <is>
          <t>Geometric units c = 1</t>
        </is>
      </c>
    </row>
    <row r="5">
      <c r="A5" s="3" t="inlineStr">
        <is>
          <t>M — Central (source) mass</t>
        </is>
      </c>
      <c r="B5" s="4" t="n">
        <v>0.01</v>
      </c>
      <c r="C5" s="3" t="inlineStr">
        <is>
          <t>geometric mass [m]</t>
        </is>
      </c>
      <c r="D5" s="3" t="inlineStr">
        <is>
          <t>M/r₀ = 0.01  →  weak-field regime</t>
        </is>
      </c>
    </row>
    <row r="6">
      <c r="A6" s="3" t="inlineStr">
        <is>
          <t>m — Test-particle mass</t>
        </is>
      </c>
      <c r="B6" s="4" t="n">
        <v>1</v>
      </c>
      <c r="C6" s="3" t="inlineStr">
        <is>
          <t>geometric mass [m]</t>
        </is>
      </c>
      <c r="D6" s="3" t="inlineStr">
        <is>
          <t>Geodesic independent of m; retained for completeness</t>
        </is>
      </c>
    </row>
    <row r="7" ht="18" customHeight="1">
      <c r="A7" s="2" t="inlineStr">
        <is>
          <t>Evaluation Point — Coordinates  x^μ = (t₀, x₀, y₀, z₀)</t>
        </is>
      </c>
    </row>
    <row r="8">
      <c r="A8" s="3" t="inlineStr">
        <is>
          <t>t₀ — Coordinate time</t>
        </is>
      </c>
      <c r="B8" s="4" t="n">
        <v>0</v>
      </c>
      <c r="C8" s="3" t="inlineStr">
        <is>
          <t>geometric time [m]</t>
        </is>
      </c>
      <c r="D8" s="3" t="inlineStr">
        <is>
          <t>Arbitrary for static background</t>
        </is>
      </c>
    </row>
    <row r="9">
      <c r="A9" s="3" t="inlineStr">
        <is>
          <t>x₀ — x-position</t>
        </is>
      </c>
      <c r="B9" s="4" t="n">
        <v>1</v>
      </c>
      <c r="C9" s="3" t="inlineStr">
        <is>
          <t>geometric length [m]</t>
        </is>
      </c>
      <c r="D9" s="3" t="inlineStr">
        <is>
          <t>Particle on positive x-axis  (r₀ = x₀)</t>
        </is>
      </c>
    </row>
    <row r="10">
      <c r="A10" s="3" t="inlineStr">
        <is>
          <t>y₀ — y-position</t>
        </is>
      </c>
      <c r="B10" s="4" t="n">
        <v>0</v>
      </c>
      <c r="C10" s="3" t="inlineStr">
        <is>
          <t>geometric length [m]</t>
        </is>
      </c>
      <c r="D10" s="3" t="inlineStr">
        <is>
          <t>Equatorial plane</t>
        </is>
      </c>
    </row>
    <row r="11">
      <c r="A11" s="3" t="inlineStr">
        <is>
          <t>z₀ — z-position</t>
        </is>
      </c>
      <c r="B11" s="4" t="n">
        <v>0</v>
      </c>
      <c r="C11" s="3" t="inlineStr">
        <is>
          <t>geometric length [m]</t>
        </is>
      </c>
      <c r="D11" s="3" t="inlineStr">
        <is>
          <t>Equatorial plane</t>
        </is>
      </c>
    </row>
    <row r="12" ht="18" customHeight="1">
      <c r="A12" s="2" t="inlineStr">
        <is>
          <t>Derived Radial Quantities</t>
        </is>
      </c>
    </row>
    <row r="13">
      <c r="A13" s="5" t="inlineStr">
        <is>
          <t>r₀ — Radial distance</t>
        </is>
      </c>
      <c r="B13" s="6">
        <f>SQRT(B9^2+B10^2+B11^2)</f>
        <v/>
      </c>
      <c r="C13" s="5" t="inlineStr">
        <is>
          <t>geometric length [m]</t>
        </is>
      </c>
      <c r="D13" s="5" t="inlineStr">
        <is>
          <t>r₀ = √(x₀²+y₀²+z₀²)</t>
        </is>
      </c>
    </row>
    <row r="14">
      <c r="A14" s="5" t="inlineStr">
        <is>
          <t>v — Circular-orbit speed</t>
        </is>
      </c>
      <c r="B14" s="6">
        <f>SQRT(B3*B5/B13)</f>
        <v/>
      </c>
      <c r="C14" s="5" t="inlineStr">
        <is>
          <t>dimensionless (c = 1)</t>
        </is>
      </c>
      <c r="D14" s="5" t="inlineStr">
        <is>
          <t>Newtonian: v = √(GM/r₀)</t>
        </is>
      </c>
    </row>
    <row r="15">
      <c r="A15" s="5" t="inlineStr">
        <is>
          <t>γ — Lorentz factor</t>
        </is>
      </c>
      <c r="B15" s="6">
        <f>1/SQRT(1-B14^2)</f>
        <v/>
      </c>
      <c r="C15" s="5" t="inlineStr">
        <is>
          <t>dimensionless</t>
        </is>
      </c>
      <c r="D15" s="5" t="inlineStr">
        <is>
          <t>γ = 1/√(1−v²)</t>
        </is>
      </c>
    </row>
    <row r="16" ht="18" customHeight="1">
      <c r="A16" s="2" t="inlineStr">
        <is>
          <t>Evaluation Point — Four-Velocity Components  u^μ = dx^μ/dτ</t>
        </is>
      </c>
    </row>
    <row r="17">
      <c r="A17" s="5" t="inlineStr">
        <is>
          <t>u^t = dt/dτ</t>
        </is>
      </c>
      <c r="B17" s="6">
        <f>B15</f>
        <v/>
      </c>
      <c r="C17" s="5" t="inlineStr">
        <is>
          <t>dimensionless</t>
        </is>
      </c>
      <c r="D17" s="5" t="inlineStr">
        <is>
          <t>Lorentz factor γ  (circular orbit)</t>
        </is>
      </c>
    </row>
    <row r="18">
      <c r="A18" s="3" t="inlineStr">
        <is>
          <t>u^x = dx/dτ</t>
        </is>
      </c>
      <c r="B18" s="4" t="n">
        <v>0</v>
      </c>
      <c r="C18" s="3" t="inlineStr">
        <is>
          <t>dimensionless</t>
        </is>
      </c>
      <c r="D18" s="3" t="inlineStr">
        <is>
          <t>Zero at apoapsis (tangential velocity)</t>
        </is>
      </c>
    </row>
    <row r="19">
      <c r="A19" s="5" t="inlineStr">
        <is>
          <t>u^y = dy/dτ</t>
        </is>
      </c>
      <c r="B19" s="6">
        <f>B15*B14</f>
        <v/>
      </c>
      <c r="C19" s="5" t="inlineStr">
        <is>
          <t>dimensionless</t>
        </is>
      </c>
      <c r="D19" s="5" t="inlineStr">
        <is>
          <t>Tangential: u^y = γ·v</t>
        </is>
      </c>
    </row>
    <row r="20">
      <c r="A20" s="3" t="inlineStr">
        <is>
          <t>u^z = dz/dτ</t>
        </is>
      </c>
      <c r="B20" s="4" t="n">
        <v>0</v>
      </c>
      <c r="C20" s="3" t="inlineStr">
        <is>
          <t>dimensionless</t>
        </is>
      </c>
      <c r="D20" s="3" t="inlineStr">
        <is>
          <t>Equatorial plane</t>
        </is>
      </c>
    </row>
    <row r="21" ht="18" customHeight="1">
      <c r="A21" s="2" t="inlineStr">
        <is>
          <t>Gravitational Potential  Φ = −GM/r  and Partial Derivatives at (x₀,y₀,z₀)</t>
        </is>
      </c>
    </row>
    <row r="22">
      <c r="A22" s="5" t="inlineStr">
        <is>
          <t>Φ₀ — Potential</t>
        </is>
      </c>
      <c r="B22" s="6">
        <f>-B3*B5/B13</f>
        <v/>
      </c>
      <c r="C22" s="5" t="inlineStr">
        <is>
          <t>dimensionless</t>
        </is>
      </c>
      <c r="D22" s="5" t="inlineStr">
        <is>
          <t>Φ = −GM/r</t>
        </is>
      </c>
    </row>
    <row r="23">
      <c r="A23" s="5" t="inlineStr">
        <is>
          <t>Φ_x = ∂Φ/∂x</t>
        </is>
      </c>
      <c r="B23" s="6">
        <f>B3*B5*B9/B13^3</f>
        <v/>
      </c>
      <c r="C23" s="5" t="inlineStr">
        <is>
          <t>1/[m]</t>
        </is>
      </c>
      <c r="D23" s="5">
        <f> GMx/r³</f>
        <v/>
      </c>
    </row>
    <row r="24">
      <c r="A24" s="5" t="inlineStr">
        <is>
          <t>Φ_y = ∂Φ/∂y</t>
        </is>
      </c>
      <c r="B24" s="6">
        <f>B3*B5*B10/B13^3</f>
        <v/>
      </c>
      <c r="C24" s="5" t="inlineStr">
        <is>
          <t>1/[m]</t>
        </is>
      </c>
      <c r="D24" s="5">
        <f> GMy/r³</f>
        <v/>
      </c>
    </row>
    <row r="25">
      <c r="A25" s="5" t="inlineStr">
        <is>
          <t>Φ_z = ∂Φ/∂z</t>
        </is>
      </c>
      <c r="B25" s="6">
        <f>B3*B5*B11/B13^3</f>
        <v/>
      </c>
      <c r="C25" s="5" t="inlineStr">
        <is>
          <t>1/[m]</t>
        </is>
      </c>
      <c r="D25" s="5">
        <f> GMz/r³</f>
        <v/>
      </c>
    </row>
    <row r="26">
      <c r="A26" s="5" t="inlineStr">
        <is>
          <t>Φ_xx = ∂²Φ/∂x²</t>
        </is>
      </c>
      <c r="B26" s="6">
        <f>B3*B5*(B13^2-3*B9^2)/B13^5</f>
        <v/>
      </c>
      <c r="C26" s="5" t="inlineStr">
        <is>
          <t>1/[m²]</t>
        </is>
      </c>
      <c r="D26" s="5">
        <f> GM(r²−3x²)/r⁵  →  −2M/r₀³ at x₀=r₀</f>
        <v/>
      </c>
    </row>
    <row r="27">
      <c r="A27" s="5" t="inlineStr">
        <is>
          <t>Φ_yy = ∂²Φ/∂y²</t>
        </is>
      </c>
      <c r="B27" s="6">
        <f>B3*B5*(B13^2-3*B10^2)/B13^5</f>
        <v/>
      </c>
      <c r="C27" s="5" t="inlineStr">
        <is>
          <t>1/[m²]</t>
        </is>
      </c>
      <c r="D27" s="5">
        <f> GM(r²−3y²)/r⁵  →  +M/r₀³  at y₀=0</f>
        <v/>
      </c>
    </row>
    <row r="28">
      <c r="A28" s="5" t="inlineStr">
        <is>
          <t>Φ_zz = ∂²Φ/∂z²</t>
        </is>
      </c>
      <c r="B28" s="6">
        <f>B3*B5*(B13^2-3*B11^2)/B13^5</f>
        <v/>
      </c>
      <c r="C28" s="5" t="inlineStr">
        <is>
          <t>1/[m²]</t>
        </is>
      </c>
      <c r="D28" s="5">
        <f> GM(r²−3z²)/r⁵  →  +M/r₀³  at z₀=0</f>
        <v/>
      </c>
    </row>
    <row r="29">
      <c r="A29" s="5" t="inlineStr">
        <is>
          <t>Φ_xy = ∂²Φ/∂x∂y</t>
        </is>
      </c>
      <c r="B29" s="6">
        <f>-3*B3*B5*B9*B10/B13^5</f>
        <v/>
      </c>
      <c r="C29" s="5" t="inlineStr">
        <is>
          <t>1/[m²]</t>
        </is>
      </c>
      <c r="D29" s="5">
        <f> −3GMxy/r⁵</f>
        <v/>
      </c>
    </row>
    <row r="30">
      <c r="A30" s="5" t="inlineStr">
        <is>
          <t>Φ_xz = ∂²Φ/∂x∂z</t>
        </is>
      </c>
      <c r="B30" s="6">
        <f>-3*B3*B5*B9*B11/B13^5</f>
        <v/>
      </c>
      <c r="C30" s="5" t="inlineStr">
        <is>
          <t>1/[m²]</t>
        </is>
      </c>
      <c r="D30" s="5">
        <f> −3GMxz/r⁵</f>
        <v/>
      </c>
    </row>
    <row r="31">
      <c r="A31" s="5" t="inlineStr">
        <is>
          <t>Φ_yz = ∂²Φ/∂y∂z</t>
        </is>
      </c>
      <c r="B31" s="6">
        <f>-3*B3*B5*B10*B11/B13^5</f>
        <v/>
      </c>
      <c r="C31" s="5" t="inlineStr">
        <is>
          <t>1/[m²]</t>
        </is>
      </c>
      <c r="D31" s="5">
        <f> −3GMyz/r⁵</f>
        <v/>
      </c>
    </row>
    <row r="32" ht="18" customHeight="1">
      <c r="A32" s="2" t="inlineStr">
        <is>
          <t>TEGR Torsion Scalar  T = −4GM/r³  and Partial Derivatives at (x₀,y₀,z₀)</t>
        </is>
      </c>
    </row>
    <row r="33">
      <c r="A33" s="5" t="inlineStr">
        <is>
          <t>T₀ — Torsion scalar</t>
        </is>
      </c>
      <c r="B33" s="6">
        <f>-4*B3*B5/B13^3</f>
        <v/>
      </c>
      <c r="C33" s="5" t="inlineStr">
        <is>
          <t>1/[m²]</t>
        </is>
      </c>
      <c r="D33" s="5" t="inlineStr">
        <is>
          <t>Leading weak-field torsion scalar for diagonal tetrad</t>
        </is>
      </c>
    </row>
    <row r="34">
      <c r="A34" s="5" t="inlineStr">
        <is>
          <t>Ṫ₀ = dT/dτ at eval point</t>
        </is>
      </c>
      <c r="B34" s="6">
        <f>B37*B18+B38*B19+B39*B20</f>
        <v/>
      </c>
      <c r="C34" s="5" t="inlineStr">
        <is>
          <t>1/[m²·s]</t>
        </is>
      </c>
      <c r="D34" s="5">
        <f> T_x·u^x + T_y·u^y + T_z·u^z  (zero for tangential orbit)</f>
        <v/>
      </c>
    </row>
    <row r="35">
      <c r="A35" s="5" t="inlineStr">
        <is>
          <t>T_x = ∂T/∂x</t>
        </is>
      </c>
      <c r="B35" s="6">
        <f>12*B3*B5*B9/B13^5</f>
        <v/>
      </c>
      <c r="C35" s="5" t="inlineStr">
        <is>
          <t>1/[m³]</t>
        </is>
      </c>
      <c r="D35" s="5">
        <f> 12GMx/r⁵</f>
        <v/>
      </c>
    </row>
    <row r="36">
      <c r="A36" s="5" t="inlineStr">
        <is>
          <t>T_y = ∂T/∂y</t>
        </is>
      </c>
      <c r="B36" s="6">
        <f>12*B3*B5*B10/B13^5</f>
        <v/>
      </c>
      <c r="C36" s="5" t="inlineStr">
        <is>
          <t>1/[m³]</t>
        </is>
      </c>
      <c r="D36" s="5">
        <f> 12GMy/r⁵</f>
        <v/>
      </c>
    </row>
    <row r="37">
      <c r="A37" s="5" t="inlineStr">
        <is>
          <t>T_z = ∂T/∂z</t>
        </is>
      </c>
      <c r="B37" s="6">
        <f>12*B3*B5*B11/B13^5</f>
        <v/>
      </c>
      <c r="C37" s="5" t="inlineStr">
        <is>
          <t>1/[m³]</t>
        </is>
      </c>
      <c r="D37" s="5">
        <f> 12GMz/r⁵</f>
        <v/>
      </c>
    </row>
    <row r="38">
      <c r="A38" s="5" t="inlineStr">
        <is>
          <t>T_xx = ∂²T/∂x²</t>
        </is>
      </c>
      <c r="B38" s="6">
        <f>12*B3*B5*(B13^2-5*B9^2)/B13^7</f>
        <v/>
      </c>
      <c r="C38" s="5" t="inlineStr">
        <is>
          <t>1/[m⁴]</t>
        </is>
      </c>
      <c r="D38" s="5">
        <f> 12GM(r²−5x²)/r⁷  →  −48M/r₀⁵ at x₀=r₀</f>
        <v/>
      </c>
    </row>
    <row r="39">
      <c r="A39" s="5" t="inlineStr">
        <is>
          <t>T_yy = ∂²T/∂y²</t>
        </is>
      </c>
      <c r="B39" s="6">
        <f>12*B3*B5*(B13^2-5*B10^2)/B13^7</f>
        <v/>
      </c>
      <c r="C39" s="5" t="inlineStr">
        <is>
          <t>1/[m⁴]</t>
        </is>
      </c>
      <c r="D39" s="5">
        <f> 12GM(r²−5y²)/r⁷  →  +12M/r₀⁵ at y₀=0</f>
        <v/>
      </c>
    </row>
    <row r="40">
      <c r="A40" s="5" t="inlineStr">
        <is>
          <t>T_zz = ∂²T/∂z²</t>
        </is>
      </c>
      <c r="B40" s="6">
        <f>12*B3*B5*(B13^2-5*B11^2)/B13^7</f>
        <v/>
      </c>
      <c r="C40" s="5" t="inlineStr">
        <is>
          <t>1/[m⁴]</t>
        </is>
      </c>
      <c r="D40" s="5">
        <f> 12GM(r²−5z²)/r⁷  →  +12M/r₀⁵ at z₀=0</f>
        <v/>
      </c>
    </row>
    <row r="41">
      <c r="A41" s="5" t="inlineStr">
        <is>
          <t>T_xy = ∂²T/∂x∂y</t>
        </is>
      </c>
      <c r="B41" s="6">
        <f>-60*B3*B5*B9*B10/B13^7</f>
        <v/>
      </c>
      <c r="C41" s="5" t="inlineStr">
        <is>
          <t>1/[m⁴]</t>
        </is>
      </c>
      <c r="D41" s="5">
        <f> −60GMxy/r⁷</f>
        <v/>
      </c>
    </row>
    <row r="42">
      <c r="A42" s="5" t="inlineStr">
        <is>
          <t>T_xz = ∂²T/∂x∂z</t>
        </is>
      </c>
      <c r="B42" s="6">
        <f>-60*B3*B5*B9*B11/B13^7</f>
        <v/>
      </c>
      <c r="C42" s="5" t="inlineStr">
        <is>
          <t>1/[m⁴]</t>
        </is>
      </c>
      <c r="D42" s="5">
        <f> −60GMxz/r⁷</f>
        <v/>
      </c>
    </row>
    <row r="43">
      <c r="A43" s="5" t="inlineStr">
        <is>
          <t>T_yz = ∂²T/∂y∂z</t>
        </is>
      </c>
      <c r="B43" s="6">
        <f>-60*B3*B5*B10*B11/B13^7</f>
        <v/>
      </c>
      <c r="C43" s="5" t="inlineStr">
        <is>
          <t>1/[m⁴]</t>
        </is>
      </c>
      <c r="D43" s="5">
        <f> −60GMyz/r⁷</f>
        <v/>
      </c>
    </row>
    <row r="44" ht="18" customHeight="1">
      <c r="A44" s="2" t="inlineStr">
        <is>
          <t>Third Derivatives of T  (required for Jacobian row 10 — d²T/dτ² sensitivity)</t>
        </is>
      </c>
    </row>
    <row r="45">
      <c r="A45" s="5" t="inlineStr">
        <is>
          <t>T_xxx = ∂³T/∂x³</t>
        </is>
      </c>
      <c r="B45" s="6">
        <f>12*B3*B5*B9*(35*B9^2-15*B13^2)/B13^9</f>
        <v/>
      </c>
      <c r="C45" s="5" t="inlineStr">
        <is>
          <t>1/[m⁵]</t>
        </is>
      </c>
      <c r="D45" s="5">
        <f> 12GMx(35x²−15r²)/r⁹</f>
        <v/>
      </c>
    </row>
    <row r="46">
      <c r="A46" s="5" t="inlineStr">
        <is>
          <t>T_xyy = ∂T_xy/∂y = ∂³T/∂x∂y²</t>
        </is>
      </c>
      <c r="B46" s="6">
        <f>-60*B3*B5*B9*(B13^2-7*B10^2)/B13^9</f>
        <v/>
      </c>
      <c r="C46" s="5" t="inlineStr">
        <is>
          <t>1/[m⁵]</t>
        </is>
      </c>
      <c r="D46" s="5">
        <f> −60GMx(r²−7y²)/r⁹  →  −60M/r₀⁷ at y₀=0</f>
        <v/>
      </c>
    </row>
    <row r="47">
      <c r="A47" s="5" t="inlineStr">
        <is>
          <t>T_xzz = ∂T_xz/∂z = ∂³T/∂x∂z²</t>
        </is>
      </c>
      <c r="B47" s="6">
        <f>-60*B3*B5*B9*(B13^2-7*B11^2)/B13^9</f>
        <v/>
      </c>
      <c r="C47" s="5" t="inlineStr">
        <is>
          <t>1/[m⁵]</t>
        </is>
      </c>
      <c r="D47" s="5">
        <f> −60GMx(r²−7z²)/r⁹  →  −60M/r₀⁷ at z₀=0</f>
        <v/>
      </c>
    </row>
    <row r="48">
      <c r="A48" s="5" t="inlineStr">
        <is>
          <t>∂T_yy/∂x = ∂³T/∂y²∂x</t>
        </is>
      </c>
      <c r="B48" s="6">
        <f>12*B3*B5*B9*(35*B10^2-5*B13^2)/B13^9</f>
        <v/>
      </c>
      <c r="C48" s="5" t="inlineStr">
        <is>
          <t>1/[m⁵]</t>
        </is>
      </c>
      <c r="D48" s="5">
        <f> 12GMx(35y²−5r²)/r⁹  →  −60M/r₀⁷ at y₀=0</f>
        <v/>
      </c>
    </row>
    <row r="49">
      <c r="A49" s="5" t="inlineStr">
        <is>
          <t>∂T_zz/∂x = ∂³T/∂z²∂x</t>
        </is>
      </c>
      <c r="B49" s="6">
        <f>12*B3*B5*B9*(35*B11^2-5*B13^2)/B13^9</f>
        <v/>
      </c>
      <c r="C49" s="5" t="inlineStr">
        <is>
          <t>1/[m⁵]</t>
        </is>
      </c>
      <c r="D49" s="5">
        <f> 12GMx(35z²−5r²)/r⁹  →  −60M/r₀⁷ at z₀=0</f>
        <v/>
      </c>
    </row>
    <row r="50" ht="18" customHeight="1">
      <c r="A50" s="2" t="inlineStr">
        <is>
          <t>Equations of Motion  f_i = dz_i/dτ  Evaluated at (t₀,x₀,y₀,z₀,u^t,u^x,u^y,u^z)</t>
        </is>
      </c>
    </row>
    <row r="51">
      <c r="A51" s="5" t="inlineStr">
        <is>
          <t>f₅ = du^t/dτ</t>
        </is>
      </c>
      <c r="B51" s="7">
        <f>-2*B17*(B23*B18+B24*B19+B25*B20)</f>
        <v/>
      </c>
      <c r="C51" s="5" t="inlineStr">
        <is>
          <t>dimensionless/[m]</t>
        </is>
      </c>
      <c r="D51" s="5">
        <f> −2 u^t (Φ_x u^x + Φ_y u^y + Φ_z u^z)</f>
        <v/>
      </c>
    </row>
    <row r="52">
      <c r="A52" s="5" t="inlineStr">
        <is>
          <t>f₆ = du^x/dτ</t>
        </is>
      </c>
      <c r="B52" s="7">
        <f>-B23*(B17^2-B18^2+B19^2+B20^2)+2*B24*B18*B19+2*B25*B18*B20</f>
        <v/>
      </c>
      <c r="C52" s="5" t="inlineStr">
        <is>
          <t>dimensionless/[m]</t>
        </is>
      </c>
      <c r="D52" s="5">
        <f> −Φ_x(u^t²−u^x²+u^y²+u^z²) + 2Φ_y u^x u^y + 2Φ_z u^x u^z</f>
        <v/>
      </c>
    </row>
    <row r="53">
      <c r="A53" s="5" t="inlineStr">
        <is>
          <t>f₇ = du^y/dτ</t>
        </is>
      </c>
      <c r="B53" s="7">
        <f>-B24*(B17^2+B18^2-B19^2+B20^2)+2*B23*B18*B19+2*B25*B19*B20</f>
        <v/>
      </c>
      <c r="C53" s="5" t="inlineStr">
        <is>
          <t>dimensionless/[m]</t>
        </is>
      </c>
      <c r="D53" s="5">
        <f> −Φ_y(u^t²+u^x²−u^y²+u^z²) + 2Φ_x u^x u^y + 2Φ_z u^y u^z</f>
        <v/>
      </c>
    </row>
    <row r="54">
      <c r="A54" s="5" t="inlineStr">
        <is>
          <t>f₈ = du^z/dτ</t>
        </is>
      </c>
      <c r="B54" s="7">
        <f>-B25*(B17^2+B18^2+B19^2-B20^2)+2*B23*B18*B20+2*B24*B19*B20</f>
        <v/>
      </c>
      <c r="C54" s="5" t="inlineStr">
        <is>
          <t>dimensionless/[m]</t>
        </is>
      </c>
      <c r="D54" s="5">
        <f> −Φ_z(u^t²+u^x²+u^y²−u^z²) + 2Φ_x u^x u^z + 2Φ_y u^y u^z</f>
        <v/>
      </c>
    </row>
  </sheetData>
  <mergeCells count="9">
    <mergeCell ref="A1:D1"/>
    <mergeCell ref="A12:D12"/>
    <mergeCell ref="A50:D50"/>
    <mergeCell ref="A21:D21"/>
    <mergeCell ref="A7:D7"/>
    <mergeCell ref="A2:D2"/>
    <mergeCell ref="A16:D16"/>
    <mergeCell ref="A32:D32"/>
    <mergeCell ref="A44:D44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1"/>
  <sheetViews>
    <sheetView workbookViewId="0">
      <selection activeCell="A1" sqref="A1"/>
    </sheetView>
  </sheetViews>
  <sheetFormatPr baseColWidth="8" defaultRowHeight="15"/>
  <cols>
    <col width="38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46" customWidth="1" min="7" max="7"/>
  </cols>
  <sheetData>
    <row r="1" ht="26" customHeight="1">
      <c r="A1" s="8" t="inlineStr">
        <is>
          <t>TEGR Diagonal Tetrad  e^a_{μ}  — Weak-Field Isotropic Schwarzschild (geometrized units, evaluated at (x₀,y₀,z₀))</t>
        </is>
      </c>
    </row>
    <row r="2" ht="18" customHeight="1">
      <c r="A2" s="2" t="inlineStr">
        <is>
          <t>Tetrad Scalar Functions at Evaluation Point</t>
        </is>
      </c>
    </row>
    <row r="3">
      <c r="A3" s="5" t="inlineStr">
        <is>
          <t>A = √(1+2Φ₀)  — time lapse</t>
        </is>
      </c>
      <c r="B3" s="6">
        <f>SQRT(1+2*Parameters!B22)</f>
        <v/>
      </c>
      <c r="C3" s="5" t="inlineStr">
        <is>
          <t>dimensionless</t>
        </is>
      </c>
      <c r="D3" s="5" t="inlineStr">
        <is>
          <t>e^(0)_t = A  (temporal tetrad component)</t>
        </is>
      </c>
    </row>
    <row r="4">
      <c r="A4" s="5" t="inlineStr">
        <is>
          <t>B = √(1−2Φ₀)  — spatial scale</t>
        </is>
      </c>
      <c r="B4" s="6">
        <f>SQRT(1-2*Parameters!B22)</f>
        <v/>
      </c>
      <c r="C4" s="5" t="inlineStr">
        <is>
          <t>dimensionless</t>
        </is>
      </c>
      <c r="D4" s="5" t="inlineStr">
        <is>
          <t>e^(i)_i = B  (diagonal spatial tetrad components)</t>
        </is>
      </c>
    </row>
    <row r="5">
      <c r="A5" s="5" t="inlineStr">
        <is>
          <t>A⁻¹ = inverse time lapse</t>
        </is>
      </c>
      <c r="B5" s="6">
        <f>1/B3</f>
        <v/>
      </c>
      <c r="C5" s="5" t="inlineStr">
        <is>
          <t>dimensionless</t>
        </is>
      </c>
      <c r="D5" s="5" t="inlineStr">
        <is>
          <t>e_(0)^t = 1/A  (inverse tetrad)</t>
        </is>
      </c>
    </row>
    <row r="6">
      <c r="A6" s="5" t="inlineStr">
        <is>
          <t>B⁻¹ = inverse spatial scale</t>
        </is>
      </c>
      <c r="B6" s="6">
        <f>1/B4</f>
        <v/>
      </c>
      <c r="C6" s="5" t="inlineStr">
        <is>
          <t>dimensionless</t>
        </is>
      </c>
      <c r="D6" s="5" t="inlineStr">
        <is>
          <t>e_(i)^i = 1/B  (inverse tetrad)</t>
        </is>
      </c>
    </row>
    <row r="7" ht="18" customHeight="1">
      <c r="A7" s="2" t="inlineStr">
        <is>
          <t>Tetrad Matrix  e^a_{μ}  (rows = local-frame index a = 0,1,2,3; columns = coord index μ = t,x,y,z)</t>
        </is>
      </c>
    </row>
    <row r="8">
      <c r="A8" s="9" t="inlineStr"/>
      <c r="B8" s="9" t="inlineStr">
        <is>
          <t>μ = t</t>
        </is>
      </c>
      <c r="C8" s="9" t="inlineStr">
        <is>
          <t>μ = x</t>
        </is>
      </c>
      <c r="D8" s="9" t="inlineStr">
        <is>
          <t>μ = y</t>
        </is>
      </c>
      <c r="E8" s="9" t="inlineStr">
        <is>
          <t>μ = z</t>
        </is>
      </c>
      <c r="F8" s="9" t="inlineStr"/>
      <c r="G8" s="9" t="inlineStr">
        <is>
          <t>Note</t>
        </is>
      </c>
    </row>
    <row r="9">
      <c r="A9" s="10" t="inlineStr">
        <is>
          <t>a = 0 (time)</t>
        </is>
      </c>
      <c r="B9" s="11">
        <f>B3</f>
        <v/>
      </c>
      <c r="C9" s="12" t="n">
        <v>0</v>
      </c>
      <c r="D9" s="12" t="n">
        <v>0</v>
      </c>
      <c r="E9" s="12" t="n">
        <v>0</v>
      </c>
    </row>
    <row r="10">
      <c r="A10" s="10" t="inlineStr">
        <is>
          <t>a = 1 (x)</t>
        </is>
      </c>
      <c r="B10" s="12" t="n">
        <v>0</v>
      </c>
      <c r="C10" s="11">
        <f>B4</f>
        <v/>
      </c>
      <c r="D10" s="12" t="n">
        <v>0</v>
      </c>
      <c r="E10" s="12" t="n">
        <v>0</v>
      </c>
    </row>
    <row r="11">
      <c r="A11" s="10" t="inlineStr">
        <is>
          <t>a = 2 (y)</t>
        </is>
      </c>
      <c r="B11" s="12" t="n">
        <v>0</v>
      </c>
      <c r="C11" s="12" t="n">
        <v>0</v>
      </c>
      <c r="D11" s="11">
        <f>B4</f>
        <v/>
      </c>
      <c r="E11" s="12" t="n">
        <v>0</v>
      </c>
    </row>
    <row r="12">
      <c r="A12" s="10" t="inlineStr">
        <is>
          <t>a = 3 (z)</t>
        </is>
      </c>
      <c r="B12" s="12" t="n">
        <v>0</v>
      </c>
      <c r="C12" s="12" t="n">
        <v>0</v>
      </c>
      <c r="D12" s="12" t="n">
        <v>0</v>
      </c>
      <c r="E12" s="11">
        <f>B4</f>
        <v/>
      </c>
    </row>
    <row r="13" ht="18" customHeight="1">
      <c r="A13" s="2" t="inlineStr">
        <is>
          <t>Inverse Tetrad  e_{a}^{μ}  (satisfies  e^a_{μ} e_{a}^{ν} = δ^ν_μ)</t>
        </is>
      </c>
    </row>
    <row r="14">
      <c r="A14" s="9" t="inlineStr"/>
      <c r="B14" s="9" t="inlineStr">
        <is>
          <t>μ = t</t>
        </is>
      </c>
      <c r="C14" s="9" t="inlineStr">
        <is>
          <t>μ = x</t>
        </is>
      </c>
      <c r="D14" s="9" t="inlineStr">
        <is>
          <t>μ = y</t>
        </is>
      </c>
      <c r="E14" s="9" t="inlineStr">
        <is>
          <t>μ = z</t>
        </is>
      </c>
      <c r="F14" s="9" t="inlineStr"/>
      <c r="G14" s="9" t="inlineStr">
        <is>
          <t>Note</t>
        </is>
      </c>
    </row>
    <row r="15">
      <c r="A15" s="10" t="inlineStr">
        <is>
          <t>a = 0 (time)</t>
        </is>
      </c>
      <c r="B15" s="11">
        <f>B5</f>
        <v/>
      </c>
      <c r="C15" s="12" t="n">
        <v>0</v>
      </c>
      <c r="D15" s="12" t="n">
        <v>0</v>
      </c>
      <c r="E15" s="12" t="n">
        <v>0</v>
      </c>
    </row>
    <row r="16">
      <c r="A16" s="10" t="inlineStr">
        <is>
          <t>a = 1 (x)</t>
        </is>
      </c>
      <c r="B16" s="12" t="n">
        <v>0</v>
      </c>
      <c r="C16" s="11">
        <f>B6</f>
        <v/>
      </c>
      <c r="D16" s="12" t="n">
        <v>0</v>
      </c>
      <c r="E16" s="12" t="n">
        <v>0</v>
      </c>
    </row>
    <row r="17">
      <c r="A17" s="10" t="inlineStr">
        <is>
          <t>a = 2 (y)</t>
        </is>
      </c>
      <c r="B17" s="12" t="n">
        <v>0</v>
      </c>
      <c r="C17" s="12" t="n">
        <v>0</v>
      </c>
      <c r="D17" s="11">
        <f>B6</f>
        <v/>
      </c>
      <c r="E17" s="12" t="n">
        <v>0</v>
      </c>
    </row>
    <row r="18">
      <c r="A18" s="10" t="inlineStr">
        <is>
          <t>a = 3 (z)</t>
        </is>
      </c>
      <c r="B18" s="12" t="n">
        <v>0</v>
      </c>
      <c r="C18" s="12" t="n">
        <v>0</v>
      </c>
      <c r="D18" s="12" t="n">
        <v>0</v>
      </c>
      <c r="E18" s="11">
        <f>B6</f>
        <v/>
      </c>
    </row>
    <row r="19" ht="18" customHeight="1">
      <c r="A19" s="2" t="inlineStr">
        <is>
          <t>Torsion Scalar T (from tetrad — leading weak-field expression)</t>
        </is>
      </c>
    </row>
    <row r="20">
      <c r="A20" s="5" t="inlineStr">
        <is>
          <t>T₀ = −4GM/r³</t>
        </is>
      </c>
      <c r="B20" s="6">
        <f>Parameters!B33</f>
        <v/>
      </c>
      <c r="C20" s="5" t="inlineStr">
        <is>
          <t>1/[m²]</t>
        </is>
      </c>
      <c r="D20" s="5" t="inlineStr">
        <is>
          <t>For diagonal tetrad: T = −4(A′/A)²(1+2Ar) to leading order → −4GM/r³</t>
        </is>
      </c>
    </row>
    <row r="21">
      <c r="A21" s="5" t="inlineStr">
        <is>
          <t>Verification: Φ₀ check</t>
        </is>
      </c>
      <c r="B21" s="6">
        <f>Parameters!B22</f>
        <v/>
      </c>
      <c r="C21" s="5" t="inlineStr">
        <is>
          <t>dimensionless</t>
        </is>
      </c>
      <c r="D21" s="5" t="inlineStr">
        <is>
          <t>Should equal −GM/r₀ = −M/r₀</t>
        </is>
      </c>
    </row>
  </sheetData>
  <mergeCells count="5">
    <mergeCell ref="A1:G1"/>
    <mergeCell ref="A7:D7"/>
    <mergeCell ref="A19:D19"/>
    <mergeCell ref="A2:D2"/>
    <mergeCell ref="A13:D13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24"/>
  <sheetViews>
    <sheetView workbookViewId="0">
      <selection activeCell="A1" sqref="A1"/>
    </sheetView>
  </sheetViews>
  <sheetFormatPr baseColWidth="8" defaultRowHeight="15"/>
  <cols>
    <col width="38" customWidth="1" min="1" max="1"/>
    <col width="20" customWidth="1" min="2" max="2"/>
    <col width="20" customWidth="1" min="3" max="3"/>
    <col width="20" customWidth="1" min="4" max="4"/>
    <col width="46" customWidth="1" min="5" max="5"/>
  </cols>
  <sheetData>
    <row r="1" ht="26" customHeight="1">
      <c r="A1" s="8" t="inlineStr">
        <is>
          <t>TEGR Weitzenböck Connection Coefficients  Γ^ρ_{μν} = e^ρ_a ∂_μ e^a_ν  — Relevant Non-Zero Components at Evaluation Point</t>
        </is>
      </c>
    </row>
    <row r="2" ht="18" customHeight="1">
      <c r="A2" s="2" t="inlineStr">
        <is>
          <t>In the weak-field limit the Weitzenböck connection coincides with the Levi-Civita (Christoffel) connection to first order in Φ.  Non-zero components listed below.</t>
        </is>
      </c>
    </row>
    <row r="3">
      <c r="A3" s="9" t="inlineStr">
        <is>
          <t>Symbol</t>
        </is>
      </c>
      <c r="B3" s="9" t="inlineStr">
        <is>
          <t>Formula (Excel)</t>
        </is>
      </c>
      <c r="C3" s="9" t="inlineStr">
        <is>
          <t>Value at eval point</t>
        </is>
      </c>
      <c r="D3" s="9" t="inlineStr"/>
      <c r="E3" s="9" t="inlineStr">
        <is>
          <t>Physical meaning</t>
        </is>
      </c>
    </row>
    <row r="4">
      <c r="A4" s="10" t="inlineStr">
        <is>
          <t>Γ^t_{tx} = Γ^t_{xt}</t>
        </is>
      </c>
      <c r="B4" s="13">
        <f>Parameters!B23</f>
        <v/>
      </c>
      <c r="C4" s="14" t="inlineStr"/>
      <c r="D4" s="15" t="inlineStr">
        <is>
          <t>∂Φ/∂x = GMx/r³  —  time-position mixing (x)</t>
        </is>
      </c>
    </row>
    <row r="5">
      <c r="A5" s="10" t="inlineStr">
        <is>
          <t>Γ^t_{ty} = Γ^t_{yt}</t>
        </is>
      </c>
      <c r="B5" s="13">
        <f>Parameters!B24</f>
        <v/>
      </c>
      <c r="C5" s="14" t="inlineStr"/>
      <c r="D5" s="15" t="inlineStr">
        <is>
          <t>∂Φ/∂y = GMy/r³  —  time-position mixing (y)</t>
        </is>
      </c>
    </row>
    <row r="6">
      <c r="A6" s="10" t="inlineStr">
        <is>
          <t>Γ^t_{tz} = Γ^t_{zt}</t>
        </is>
      </c>
      <c r="B6" s="13">
        <f>Parameters!B25</f>
        <v/>
      </c>
      <c r="C6" s="14" t="inlineStr"/>
      <c r="D6" s="15" t="inlineStr">
        <is>
          <t>∂Φ/∂z = GMz/r³  —  time-position mixing (z)</t>
        </is>
      </c>
    </row>
    <row r="7">
      <c r="A7" s="10" t="inlineStr">
        <is>
          <t>Γ^x_{tt}</t>
        </is>
      </c>
      <c r="B7" s="13">
        <f>Parameters!B23</f>
        <v/>
      </c>
      <c r="C7" s="14" t="inlineStr"/>
      <c r="D7" s="15" t="inlineStr">
        <is>
          <t>∂Φ/∂x  —  gravitoelectric acceleration (x)</t>
        </is>
      </c>
    </row>
    <row r="8">
      <c r="A8" s="10" t="inlineStr">
        <is>
          <t>Γ^x_{xx}</t>
        </is>
      </c>
      <c r="B8" s="13">
        <f>-Parameters!B23</f>
        <v/>
      </c>
      <c r="C8" s="14" t="inlineStr"/>
      <c r="D8" s="15" t="inlineStr">
        <is>
          <t>−∂Φ/∂x  — self-diagonal spatial</t>
        </is>
      </c>
    </row>
    <row r="9">
      <c r="A9" s="10" t="inlineStr">
        <is>
          <t>Γ^x_{yy}</t>
        </is>
      </c>
      <c r="B9" s="13">
        <f>Parameters!B23</f>
        <v/>
      </c>
      <c r="C9" s="14" t="inlineStr"/>
      <c r="D9" s="15" t="inlineStr">
        <is>
          <t>∂Φ/∂x  — off-diagonal spatial y-y</t>
        </is>
      </c>
    </row>
    <row r="10">
      <c r="A10" s="10" t="inlineStr">
        <is>
          <t>Γ^x_{zz}</t>
        </is>
      </c>
      <c r="B10" s="13">
        <f>Parameters!B23</f>
        <v/>
      </c>
      <c r="C10" s="14" t="inlineStr"/>
      <c r="D10" s="15" t="inlineStr">
        <is>
          <t>∂Φ/∂x  — off-diagonal spatial z-z</t>
        </is>
      </c>
    </row>
    <row r="11">
      <c r="A11" s="10" t="inlineStr">
        <is>
          <t>Γ^x_{xy} = Γ^x_{yx}</t>
        </is>
      </c>
      <c r="B11" s="13">
        <f>-Parameters!B24</f>
        <v/>
      </c>
      <c r="C11" s="14" t="inlineStr"/>
      <c r="D11" s="15" t="inlineStr">
        <is>
          <t>−∂Φ/∂y  — spatial cross-coupling (xy)</t>
        </is>
      </c>
    </row>
    <row r="12">
      <c r="A12" s="10" t="inlineStr">
        <is>
          <t>Γ^x_{xz} = Γ^x_{zx}</t>
        </is>
      </c>
      <c r="B12" s="13">
        <f>-Parameters!B25</f>
        <v/>
      </c>
      <c r="C12" s="14" t="inlineStr"/>
      <c r="D12" s="15" t="inlineStr">
        <is>
          <t>−∂Φ/∂z  — spatial cross-coupling (xz)</t>
        </is>
      </c>
    </row>
    <row r="13">
      <c r="A13" s="10" t="inlineStr">
        <is>
          <t>Γ^y_{tt}</t>
        </is>
      </c>
      <c r="B13" s="13">
        <f>Parameters!B24</f>
        <v/>
      </c>
      <c r="C13" s="14" t="inlineStr"/>
      <c r="D13" s="15" t="inlineStr">
        <is>
          <t>∂Φ/∂y  —  gravitoelectric acceleration (y)</t>
        </is>
      </c>
    </row>
    <row r="14">
      <c r="A14" s="10" t="inlineStr">
        <is>
          <t>Γ^y_{yy}</t>
        </is>
      </c>
      <c r="B14" s="13">
        <f>-Parameters!B24</f>
        <v/>
      </c>
      <c r="C14" s="14" t="inlineStr"/>
      <c r="D14" s="15" t="inlineStr">
        <is>
          <t>−∂Φ/∂y  — self-diagonal spatial</t>
        </is>
      </c>
    </row>
    <row r="15">
      <c r="A15" s="10" t="inlineStr">
        <is>
          <t>Γ^y_{xx}</t>
        </is>
      </c>
      <c r="B15" s="13">
        <f>Parameters!B24</f>
        <v/>
      </c>
      <c r="C15" s="14" t="inlineStr"/>
      <c r="D15" s="15" t="inlineStr">
        <is>
          <t>∂Φ/∂y  — off-diagonal spatial x-x</t>
        </is>
      </c>
    </row>
    <row r="16">
      <c r="A16" s="10" t="inlineStr">
        <is>
          <t>Γ^y_{zz}</t>
        </is>
      </c>
      <c r="B16" s="13">
        <f>Parameters!B24</f>
        <v/>
      </c>
      <c r="C16" s="14" t="inlineStr"/>
      <c r="D16" s="15" t="inlineStr">
        <is>
          <t>∂Φ/∂y  — off-diagonal spatial z-z</t>
        </is>
      </c>
    </row>
    <row r="17">
      <c r="A17" s="10" t="inlineStr">
        <is>
          <t>Γ^y_{xy} = Γ^y_{yx}</t>
        </is>
      </c>
      <c r="B17" s="13">
        <f>-Parameters!B23</f>
        <v/>
      </c>
      <c r="C17" s="14" t="inlineStr"/>
      <c r="D17" s="15" t="inlineStr">
        <is>
          <t>−∂Φ/∂x  — spatial cross-coupling (xy)</t>
        </is>
      </c>
    </row>
    <row r="18">
      <c r="A18" s="10" t="inlineStr">
        <is>
          <t>Γ^y_{yz} = Γ^y_{zy}</t>
        </is>
      </c>
      <c r="B18" s="13">
        <f>-Parameters!B25</f>
        <v/>
      </c>
      <c r="C18" s="14" t="inlineStr"/>
      <c r="D18" s="15" t="inlineStr">
        <is>
          <t>−∂Φ/∂z  — spatial cross-coupling (yz)</t>
        </is>
      </c>
    </row>
    <row r="19">
      <c r="A19" s="10" t="inlineStr">
        <is>
          <t>Γ^z_{tt}</t>
        </is>
      </c>
      <c r="B19" s="13">
        <f>Parameters!B25</f>
        <v/>
      </c>
      <c r="C19" s="14" t="inlineStr"/>
      <c r="D19" s="15" t="inlineStr">
        <is>
          <t>∂Φ/∂z  —  gravitoelectric acceleration (z)</t>
        </is>
      </c>
    </row>
    <row r="20">
      <c r="A20" s="10" t="inlineStr">
        <is>
          <t>Γ^z_{zz}</t>
        </is>
      </c>
      <c r="B20" s="13">
        <f>-Parameters!B25</f>
        <v/>
      </c>
      <c r="C20" s="14" t="inlineStr"/>
      <c r="D20" s="15" t="inlineStr">
        <is>
          <t>−∂Φ/∂z  — self-diagonal spatial</t>
        </is>
      </c>
    </row>
    <row r="21">
      <c r="A21" s="10" t="inlineStr">
        <is>
          <t>Γ^z_{xx}</t>
        </is>
      </c>
      <c r="B21" s="13">
        <f>Parameters!B25</f>
        <v/>
      </c>
      <c r="C21" s="14" t="inlineStr"/>
      <c r="D21" s="15" t="inlineStr">
        <is>
          <t>∂Φ/∂z  — off-diagonal spatial x-x</t>
        </is>
      </c>
    </row>
    <row r="22">
      <c r="A22" s="10" t="inlineStr">
        <is>
          <t>Γ^z_{yy}</t>
        </is>
      </c>
      <c r="B22" s="13">
        <f>Parameters!B25</f>
        <v/>
      </c>
      <c r="C22" s="14" t="inlineStr"/>
      <c r="D22" s="15" t="inlineStr">
        <is>
          <t>∂Φ/∂z  — off-diagonal spatial y-y</t>
        </is>
      </c>
    </row>
    <row r="23">
      <c r="A23" s="10" t="inlineStr">
        <is>
          <t>Γ^z_{xz} = Γ^z_{zx}</t>
        </is>
      </c>
      <c r="B23" s="13">
        <f>-Parameters!B23</f>
        <v/>
      </c>
      <c r="C23" s="14" t="inlineStr"/>
      <c r="D23" s="15" t="inlineStr">
        <is>
          <t>−∂Φ/∂x  — spatial cross-coupling (xz)</t>
        </is>
      </c>
    </row>
    <row r="24">
      <c r="A24" s="10" t="inlineStr">
        <is>
          <t>Γ^z_{yz} = Γ^z_{zy}</t>
        </is>
      </c>
      <c r="B24" s="13">
        <f>-Parameters!B24</f>
        <v/>
      </c>
      <c r="C24" s="14" t="inlineStr"/>
      <c r="D24" s="15" t="inlineStr">
        <is>
          <t>−∂Φ/∂y  — spatial cross-coupling (yz)</t>
        </is>
      </c>
    </row>
  </sheetData>
  <mergeCells count="2">
    <mergeCell ref="A1:E1"/>
    <mergeCell ref="A2:D2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K13"/>
  <sheetViews>
    <sheetView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8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18" customWidth="1" min="10" max="10"/>
    <col width="18" customWidth="1" min="11" max="11"/>
    <col width="18" customWidth="1" min="12" max="12"/>
  </cols>
  <sheetData>
    <row r="1" ht="28" customHeight="1">
      <c r="A1" s="8" t="inlineStr">
        <is>
          <t>10×10 Jacobian Matrix  J_{ij} = ∂(dz_i/dτ)/∂z_j  Evaluated at Circular Orbit  (x₀,0,0)  —  TEGR Weak-Field Geodesic + Torsion Transport</t>
        </is>
      </c>
    </row>
    <row r="2" ht="14" customHeight="1">
      <c r="A2" s="16" t="inlineStr">
        <is>
          <t>State vector  z = (t, x, y, z, u^t, u^x, u^y, u^z, T_scalar, Ṫ)  •  All cells are Excel formulas referencing the Parameters sheet  •  Geometrized units G = c = 1</t>
        </is>
      </c>
    </row>
    <row r="3" ht="30" customHeight="1">
      <c r="A3" s="17" t="inlineStr">
        <is>
          <t>Equation  /  Variable →</t>
        </is>
      </c>
      <c r="B3" s="18" t="inlineStr">
        <is>
          <t>∂/∂t
z₁=t</t>
        </is>
      </c>
      <c r="C3" s="18" t="inlineStr">
        <is>
          <t>∂/∂x
z₂=x</t>
        </is>
      </c>
      <c r="D3" s="18" t="inlineStr">
        <is>
          <t>∂/∂y
z₃=y</t>
        </is>
      </c>
      <c r="E3" s="18" t="inlineStr">
        <is>
          <t>∂/∂z
z₄=z</t>
        </is>
      </c>
      <c r="F3" s="18" t="inlineStr">
        <is>
          <t>∂/∂u^t
z₅=u^t</t>
        </is>
      </c>
      <c r="G3" s="18" t="inlineStr">
        <is>
          <t>∂/∂u^x
z₆=u^x</t>
        </is>
      </c>
      <c r="H3" s="18" t="inlineStr">
        <is>
          <t>∂/∂u^y
z₇=u^y</t>
        </is>
      </c>
      <c r="I3" s="18" t="inlineStr">
        <is>
          <t>∂/∂u^z
z₈=u^z</t>
        </is>
      </c>
      <c r="J3" s="18" t="inlineStr">
        <is>
          <t>∂/∂T
z₉=T</t>
        </is>
      </c>
      <c r="K3" s="18" t="inlineStr">
        <is>
          <t>∂/∂Ṫ
z₁₀=Ṫ</t>
        </is>
      </c>
    </row>
    <row r="4" ht="20" customHeight="1">
      <c r="A4" s="19" t="inlineStr">
        <is>
          <t>f₁ = dt/dτ = u^t</t>
        </is>
      </c>
      <c r="B4" s="20" t="n">
        <v>0</v>
      </c>
      <c r="C4" s="21" t="n">
        <v>0</v>
      </c>
      <c r="D4" s="21" t="n">
        <v>0</v>
      </c>
      <c r="E4" s="21" t="n">
        <v>0</v>
      </c>
      <c r="F4" s="20" t="n">
        <v>1</v>
      </c>
      <c r="G4" s="21" t="n">
        <v>0</v>
      </c>
      <c r="H4" s="21" t="n">
        <v>0</v>
      </c>
      <c r="I4" s="21" t="n">
        <v>0</v>
      </c>
      <c r="J4" s="21" t="n">
        <v>0</v>
      </c>
      <c r="K4" s="21" t="n">
        <v>0</v>
      </c>
    </row>
    <row r="5" ht="20" customHeight="1">
      <c r="A5" s="19" t="inlineStr">
        <is>
          <t>f₂ = dx/dτ = u^x</t>
        </is>
      </c>
      <c r="B5" s="21" t="n">
        <v>0</v>
      </c>
      <c r="C5" s="20" t="n">
        <v>0</v>
      </c>
      <c r="D5" s="21" t="n">
        <v>0</v>
      </c>
      <c r="E5" s="21" t="n">
        <v>0</v>
      </c>
      <c r="F5" s="21" t="n">
        <v>0</v>
      </c>
      <c r="G5" s="20" t="n">
        <v>1</v>
      </c>
      <c r="H5" s="21" t="n">
        <v>0</v>
      </c>
      <c r="I5" s="21" t="n">
        <v>0</v>
      </c>
      <c r="J5" s="21" t="n">
        <v>0</v>
      </c>
      <c r="K5" s="21" t="n">
        <v>0</v>
      </c>
    </row>
    <row r="6" ht="20" customHeight="1">
      <c r="A6" s="19" t="inlineStr">
        <is>
          <t>f₃ = dy/dτ = u^y</t>
        </is>
      </c>
      <c r="B6" s="21" t="n">
        <v>0</v>
      </c>
      <c r="C6" s="21" t="n">
        <v>0</v>
      </c>
      <c r="D6" s="20" t="n">
        <v>0</v>
      </c>
      <c r="E6" s="21" t="n">
        <v>0</v>
      </c>
      <c r="F6" s="21" t="n">
        <v>0</v>
      </c>
      <c r="G6" s="21" t="n">
        <v>0</v>
      </c>
      <c r="H6" s="20" t="n">
        <v>1</v>
      </c>
      <c r="I6" s="21" t="n">
        <v>0</v>
      </c>
      <c r="J6" s="21" t="n">
        <v>0</v>
      </c>
      <c r="K6" s="21" t="n">
        <v>0</v>
      </c>
    </row>
    <row r="7" ht="20" customHeight="1">
      <c r="A7" s="19" t="inlineStr">
        <is>
          <t>f₄ = dz/dτ = u^z</t>
        </is>
      </c>
      <c r="B7" s="21" t="n">
        <v>0</v>
      </c>
      <c r="C7" s="21" t="n">
        <v>0</v>
      </c>
      <c r="D7" s="21" t="n">
        <v>0</v>
      </c>
      <c r="E7" s="20" t="n">
        <v>0</v>
      </c>
      <c r="F7" s="21" t="n">
        <v>0</v>
      </c>
      <c r="G7" s="21" t="n">
        <v>0</v>
      </c>
      <c r="H7" s="21" t="n">
        <v>0</v>
      </c>
      <c r="I7" s="20" t="n">
        <v>1</v>
      </c>
      <c r="J7" s="21" t="n">
        <v>0</v>
      </c>
      <c r="K7" s="21" t="n">
        <v>0</v>
      </c>
    </row>
    <row r="8" ht="20" customHeight="1">
      <c r="A8" s="19" t="inlineStr">
        <is>
          <t>f₅ = du^t/dτ</t>
        </is>
      </c>
      <c r="B8" s="21" t="n">
        <v>0</v>
      </c>
      <c r="C8" s="22">
        <f>-2*Parameters!B17*(Parameters!B26*Parameters!B18+Parameters!B29*Parameters!B19+Parameters!B30*Parameters!B20)</f>
        <v/>
      </c>
      <c r="D8" s="22">
        <f>-2*Parameters!B17*(Parameters!B29*Parameters!B18+Parameters!B27*Parameters!B19+Parameters!B31*Parameters!B20)</f>
        <v/>
      </c>
      <c r="E8" s="22">
        <f>-2*Parameters!B17*(Parameters!B30*Parameters!B18+Parameters!B31*Parameters!B19+Parameters!B28*Parameters!B20)</f>
        <v/>
      </c>
      <c r="F8" s="22">
        <f>-2*(Parameters!B23*Parameters!B18+Parameters!B24*Parameters!B19+Parameters!B25*Parameters!B20)</f>
        <v/>
      </c>
      <c r="G8" s="22">
        <f>-2*Parameters!B17*Parameters!B23</f>
        <v/>
      </c>
      <c r="H8" s="22">
        <f>-2*Parameters!B17*Parameters!B24</f>
        <v/>
      </c>
      <c r="I8" s="22">
        <f>-2*Parameters!B17*Parameters!B25</f>
        <v/>
      </c>
      <c r="J8" s="21" t="n">
        <v>0</v>
      </c>
      <c r="K8" s="21" t="n">
        <v>0</v>
      </c>
    </row>
    <row r="9" ht="20" customHeight="1">
      <c r="A9" s="19" t="inlineStr">
        <is>
          <t>f₆ = du^x/dτ</t>
        </is>
      </c>
      <c r="B9" s="21" t="n">
        <v>0</v>
      </c>
      <c r="C9" s="22">
        <f>-Parameters!B26*(Parameters!B17^2-Parameters!B18^2+Parameters!B19^2+Parameters!B20^2)+2*Parameters!B29*Parameters!B18*Parameters!B19+2*Parameters!B30*Parameters!B18*Parameters!B20</f>
        <v/>
      </c>
      <c r="D9" s="22">
        <f>-Parameters!B29*(Parameters!B17^2-Parameters!B18^2+Parameters!B19^2+Parameters!B20^2)+2*Parameters!B27*Parameters!B18*Parameters!B19+2*Parameters!B31*Parameters!B18*Parameters!B20</f>
        <v/>
      </c>
      <c r="E9" s="22">
        <f>-Parameters!B30*(Parameters!B17^2-Parameters!B18^2+Parameters!B19^2+Parameters!B20^2)+2*Parameters!B31*Parameters!B18*Parameters!B19+2*Parameters!B28*Parameters!B18*Parameters!B20</f>
        <v/>
      </c>
      <c r="F9" s="22">
        <f>-2*Parameters!B23*Parameters!B17</f>
        <v/>
      </c>
      <c r="G9" s="22">
        <f>2*Parameters!B23*Parameters!B18+2*Parameters!B24*Parameters!B19+2*Parameters!B25*Parameters!B20</f>
        <v/>
      </c>
      <c r="H9" s="22">
        <f>-2*Parameters!B23*Parameters!B19+2*Parameters!B24*Parameters!B18</f>
        <v/>
      </c>
      <c r="I9" s="22">
        <f>-2*Parameters!B23*Parameters!B20+2*Parameters!B25*Parameters!B18</f>
        <v/>
      </c>
      <c r="J9" s="21" t="n">
        <v>0</v>
      </c>
      <c r="K9" s="21" t="n">
        <v>0</v>
      </c>
    </row>
    <row r="10" ht="20" customHeight="1">
      <c r="A10" s="19" t="inlineStr">
        <is>
          <t>f₇ = du^y/dτ</t>
        </is>
      </c>
      <c r="B10" s="21" t="n">
        <v>0</v>
      </c>
      <c r="C10" s="22">
        <f>-Parameters!B29*(Parameters!B17^2+Parameters!B18^2-Parameters!B19^2+Parameters!B20^2)+2*Parameters!B26*Parameters!B18*Parameters!B19+2*Parameters!B30*Parameters!B19*Parameters!B20</f>
        <v/>
      </c>
      <c r="D10" s="22">
        <f>-Parameters!B27*(Parameters!B17^2+Parameters!B18^2-Parameters!B19^2+Parameters!B20^2)+2*Parameters!B29*Parameters!B18*Parameters!B19+2*Parameters!B31*Parameters!B19*Parameters!B20</f>
        <v/>
      </c>
      <c r="E10" s="22">
        <f>-Parameters!B31*(Parameters!B17^2+Parameters!B18^2-Parameters!B19^2+Parameters!B20^2)+2*Parameters!B30*Parameters!B18*Parameters!B19+2*Parameters!B28*Parameters!B19*Parameters!B20</f>
        <v/>
      </c>
      <c r="F10" s="22">
        <f>-2*Parameters!B24*Parameters!B17</f>
        <v/>
      </c>
      <c r="G10" s="22">
        <f>-2*Parameters!B24*Parameters!B18+2*Parameters!B23*Parameters!B19</f>
        <v/>
      </c>
      <c r="H10" s="22">
        <f>2*Parameters!B24*Parameters!B19+2*Parameters!B23*Parameters!B18+2*Parameters!B25*Parameters!B20</f>
        <v/>
      </c>
      <c r="I10" s="22">
        <f>-2*Parameters!B24*Parameters!B20+2*Parameters!B25*Parameters!B19</f>
        <v/>
      </c>
      <c r="J10" s="21" t="n">
        <v>0</v>
      </c>
      <c r="K10" s="21" t="n">
        <v>0</v>
      </c>
    </row>
    <row r="11" ht="20" customHeight="1">
      <c r="A11" s="19" t="inlineStr">
        <is>
          <t>f₈ = du^z/dτ</t>
        </is>
      </c>
      <c r="B11" s="21" t="n">
        <v>0</v>
      </c>
      <c r="C11" s="22">
        <f>-Parameters!B30*(Parameters!B17^2+Parameters!B18^2+Parameters!B19^2-Parameters!B20^2)+2*Parameters!B26*Parameters!B18*Parameters!B20+2*Parameters!B29*Parameters!B19*Parameters!B20</f>
        <v/>
      </c>
      <c r="D11" s="22">
        <f>-Parameters!B31*(Parameters!B17^2+Parameters!B18^2+Parameters!B19^2-Parameters!B20^2)+2*Parameters!B29*Parameters!B18*Parameters!B20+2*Parameters!B27*Parameters!B19*Parameters!B20</f>
        <v/>
      </c>
      <c r="E11" s="22">
        <f>-Parameters!B28*(Parameters!B17^2+Parameters!B18^2+Parameters!B19^2-Parameters!B20^2)+2*Parameters!B30*Parameters!B18*Parameters!B20+2*Parameters!B31*Parameters!B19*Parameters!B20</f>
        <v/>
      </c>
      <c r="F11" s="22">
        <f>-2*Parameters!B25*Parameters!B17</f>
        <v/>
      </c>
      <c r="G11" s="22">
        <f>-2*Parameters!B25*Parameters!B18+2*Parameters!B23*Parameters!B20</f>
        <v/>
      </c>
      <c r="H11" s="22">
        <f>-2*Parameters!B25*Parameters!B19+2*Parameters!B24*Parameters!B20</f>
        <v/>
      </c>
      <c r="I11" s="22">
        <f>2*Parameters!B25*Parameters!B20+2*Parameters!B23*Parameters!B18+2*Parameters!B24*Parameters!B19</f>
        <v/>
      </c>
      <c r="J11" s="21" t="n">
        <v>0</v>
      </c>
      <c r="K11" s="21" t="n">
        <v>0</v>
      </c>
    </row>
    <row r="12" ht="20" customHeight="1">
      <c r="A12" s="19" t="inlineStr">
        <is>
          <t>f₉ = dT/dτ = Ṫ</t>
        </is>
      </c>
      <c r="B12" s="21" t="n">
        <v>0</v>
      </c>
      <c r="C12" s="21" t="n">
        <v>0</v>
      </c>
      <c r="D12" s="21" t="n">
        <v>0</v>
      </c>
      <c r="E12" s="21" t="n">
        <v>0</v>
      </c>
      <c r="F12" s="21" t="n">
        <v>0</v>
      </c>
      <c r="G12" s="21" t="n">
        <v>0</v>
      </c>
      <c r="H12" s="21" t="n">
        <v>0</v>
      </c>
      <c r="I12" s="21" t="n">
        <v>0</v>
      </c>
      <c r="J12" s="20" t="n">
        <v>0</v>
      </c>
      <c r="K12" s="20" t="n">
        <v>1</v>
      </c>
    </row>
    <row r="13" ht="20" customHeight="1">
      <c r="A13" s="19" t="inlineStr">
        <is>
          <t>f₁₀ = d²T/dτ²</t>
        </is>
      </c>
      <c r="B13" s="21" t="n">
        <v>0</v>
      </c>
      <c r="C13" s="22">
        <f>Parameters!B45*Parameters!B18^2+Parameters!B48*Parameters!B19^2+Parameters!B49*Parameters!B20^2+2*Parameters!B46*Parameters!B18*Parameters!B19+2*Parameters!B47*Parameters!B18*Parameters!B20+Parameters!B38*Parameters!B52+Parameters!B41*Parameters!B53+Parameters!B42*Parameters!B54+Parameters!B35*C9+Parameters!B36*C10+Parameters!B37*C11</f>
        <v/>
      </c>
      <c r="D13" s="22">
        <f>(12*Parameters!B3*Parameters!B5*Parameters!B10*(35*Parameters!B9^2-5*Parameters!B13^2)/Parameters!B13^9)*Parameters!B18^2+(12*Parameters!B3*Parameters!B5*Parameters!B10*(35*Parameters!B10^2-17*Parameters!B13^2)/Parameters!B13^9)*Parameters!B19^2+(12*Parameters!B3*Parameters!B5*Parameters!B10*(35*Parameters!B11^2-5*Parameters!B13^2)/Parameters!B13^9)*Parameters!B20^2+2*(-60*Parameters!B3*Parameters!B5*Parameters!B10*(Parameters!B13^2-7*Parameters!B10^2)/Parameters!B13^9)*Parameters!B18*Parameters!B19+Parameters!B41*Parameters!B52+Parameters!B35*D9+Parameters!B39*Parameters!B53+Parameters!B36*D10+Parameters!B43*Parameters!B54+Parameters!B37*D11</f>
        <v/>
      </c>
      <c r="E13" s="22">
        <f>(12*Parameters!B3*Parameters!B5*Parameters!B11*(35*Parameters!B9^2-5*Parameters!B13^2)/Parameters!B13^9)*Parameters!B18^2+(12*Parameters!B3*Parameters!B5*Parameters!B11*(35*Parameters!B10^2-5*Parameters!B13^2)/Parameters!B13^9)*Parameters!B19^2+(12*Parameters!B3*Parameters!B5*Parameters!B11*(35*Parameters!B11^2-17*Parameters!B13^2)/Parameters!B13^9)*Parameters!B20^2+2*(-60*Parameters!B3*Parameters!B5*Parameters!B11*(Parameters!B13^2-7*Parameters!B11^2)/Parameters!B13^9)*Parameters!B18*Parameters!B20+Parameters!B42*Parameters!B52+Parameters!B35*E9+Parameters!B43*Parameters!B53+Parameters!B36*E10+Parameters!B40*Parameters!B54+Parameters!B37*E11</f>
        <v/>
      </c>
      <c r="F13" s="22">
        <f>Parameters!B35*F9+Parameters!B36*F10+Parameters!B37*F11</f>
        <v/>
      </c>
      <c r="G13" s="22">
        <f>2*Parameters!B38*Parameters!B18+2*Parameters!B41*Parameters!B19+2*Parameters!B42*Parameters!B20+Parameters!B35*G9+Parameters!B36*G10+Parameters!B37*G11</f>
        <v/>
      </c>
      <c r="H13" s="22">
        <f>2*Parameters!B39*Parameters!B19+2*Parameters!B41*Parameters!B18+2*Parameters!B43*Parameters!B20+Parameters!B35*H9+Parameters!B36*H10+Parameters!B37*H11</f>
        <v/>
      </c>
      <c r="I13" s="22">
        <f>2*Parameters!B40*Parameters!B20+2*Parameters!B42*Parameters!B18+2*Parameters!B43*Parameters!B19+Parameters!B35*I9+Parameters!B36*I10+Parameters!B37*I11</f>
        <v/>
      </c>
      <c r="J13" s="21" t="n">
        <v>0</v>
      </c>
      <c r="K13" s="20" t="n">
        <v>0</v>
      </c>
    </row>
  </sheetData>
  <mergeCells count="2">
    <mergeCell ref="A2:K2"/>
    <mergeCell ref="A1:K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40"/>
  <sheetViews>
    <sheetView workbookViewId="0">
      <selection activeCell="A1" sqref="A1"/>
    </sheetView>
  </sheetViews>
  <sheetFormatPr baseColWidth="8" defaultRowHeight="15"/>
  <cols>
    <col width="40" customWidth="1" min="1" max="1"/>
    <col width="24" customWidth="1" min="2" max="2"/>
    <col width="22" customWidth="1" min="3" max="3"/>
    <col width="50" customWidth="1" min="4" max="4"/>
    <col width="55" customWidth="1" min="5" max="5"/>
  </cols>
  <sheetData>
    <row r="1" ht="26" customHeight="1">
      <c r="A1" s="1" t="inlineStr">
        <is>
          <t>Jacobian Analysis — Trace, Norms, Block Structure, Conservation Checks</t>
        </is>
      </c>
    </row>
    <row r="2" ht="18" customHeight="1">
      <c r="A2" s="2" t="inlineStr">
        <is>
          <t>Scalar Properties of the Jacobian Matrix  J ∈ ℝ^{10×10}</t>
        </is>
      </c>
    </row>
    <row r="3">
      <c r="A3" s="5" t="inlineStr">
        <is>
          <t>Tr(J) — Trace  (sum of diagonal elements)</t>
        </is>
      </c>
      <c r="B3" s="7">
        <f>Jacobian!B4+Jacobian!C5+Jacobian!D6+Jacobian!E7+Jacobian!F8+Jacobian!G9+Jacobian!H10+Jacobian!I11+Jacobian!J12+Jacobian!K13</f>
        <v/>
      </c>
      <c r="C3" s="5" t="inlineStr">
        <is>
          <t>dimensionless</t>
        </is>
      </c>
      <c r="D3" s="5" t="inlineStr">
        <is>
          <t>For Hamiltonian systems Tr(J) = 0 (Liouville); non-zero here due to TEGR torsion coupling</t>
        </is>
      </c>
    </row>
    <row r="4">
      <c r="A4" s="5" t="inlineStr">
        <is>
          <t>‖J‖_F — Frobenius norm  √(Σ J_ij²)</t>
        </is>
      </c>
      <c r="B4" s="7">
        <f>SQRT(SUMPRODUCT(Jacobian!B4:K13*Jacobian!B4:K13))</f>
        <v/>
      </c>
      <c r="C4" s="5" t="inlineStr">
        <is>
          <t>dimensionless</t>
        </is>
      </c>
      <c r="D4" s="5" t="inlineStr">
        <is>
          <t>Measures overall magnitude of the Jacobian (sensitivity)</t>
        </is>
      </c>
    </row>
    <row r="5">
      <c r="A5" s="5" t="inlineStr">
        <is>
          <t>max|J_ij| — Maximum absolute entry</t>
        </is>
      </c>
      <c r="B5" s="7">
        <f>MAX(ABS(Jacobian!B4:K13))</f>
        <v/>
      </c>
      <c r="C5" s="5" t="inlineStr">
        <is>
          <t>dimensionless</t>
        </is>
      </c>
      <c r="D5" s="5" t="inlineStr">
        <is>
          <t>Largest Jacobian element (dominant coupling)</t>
        </is>
      </c>
    </row>
    <row r="6" ht="18" customHeight="1">
      <c r="A6" s="2" t="inlineStr">
        <is>
          <t>Block Structure Analysis</t>
        </is>
      </c>
    </row>
    <row r="7">
      <c r="A7" s="5" t="inlineStr">
        <is>
          <t>Position block Tr (rows 1–4, cols 1–4)</t>
        </is>
      </c>
      <c r="B7" s="7">
        <f>Jacobian!B4+Jacobian!C5+Jacobian!D6+Jacobian!E7</f>
        <v/>
      </c>
      <c r="C7" s="5" t="inlineStr">
        <is>
          <t>dimensionless</t>
        </is>
      </c>
      <c r="D7" s="5" t="inlineStr">
        <is>
          <t>Should be 0 (no coordinate self-coupling)</t>
        </is>
      </c>
    </row>
    <row r="8">
      <c r="A8" s="5" t="inlineStr">
        <is>
          <t>Velocity block Tr (rows 5–8, cols 5–8)</t>
        </is>
      </c>
      <c r="B8" s="7">
        <f>Jacobian!F8+Jacobian!G9+Jacobian!H10+Jacobian!I11</f>
        <v/>
      </c>
      <c r="C8" s="5" t="inlineStr">
        <is>
          <t>dimensionless</t>
        </is>
      </c>
      <c r="D8" s="5" t="inlineStr">
        <is>
          <t>Geodesic self-damping; 0 in flat-space limit</t>
        </is>
      </c>
    </row>
    <row r="9">
      <c r="A9" s="5" t="inlineStr">
        <is>
          <t>Torsion block Tr (rows 9–10, cols 9–10)</t>
        </is>
      </c>
      <c r="B9" s="7">
        <f>Jacobian!J12+Jacobian!K13</f>
        <v/>
      </c>
      <c r="C9" s="5" t="inlineStr">
        <is>
          <t>dimensionless</t>
        </is>
      </c>
      <c r="D9" s="5" t="inlineStr">
        <is>
          <t>Torsion subsystem trace</t>
        </is>
      </c>
    </row>
    <row r="10" ht="18" customHeight="1">
      <c r="A10" s="2" t="inlineStr">
        <is>
          <t>Tidal Tensor Components  (=Jacobian rows 6–8, cols 2–4 = ∂f_{x,y,z}/∂{x,y,z})</t>
        </is>
      </c>
    </row>
    <row r="11">
      <c r="A11" s="5" t="inlineStr">
        <is>
          <t>K_xx = ∂(du^x/dτ)/∂x  (radial tidal)</t>
        </is>
      </c>
      <c r="B11" s="7">
        <f>Jacobian!C9</f>
        <v/>
      </c>
      <c r="C11" s="5" t="inlineStr">
        <is>
          <t>1/[m²]</t>
        </is>
      </c>
      <c r="D11" s="5">
        <f> 2M/r₀³ for circular orbit at x₀=r₀  (centrifugal + tidal)</f>
        <v/>
      </c>
    </row>
    <row r="12">
      <c r="A12" s="5" t="inlineStr">
        <is>
          <t>K_yy = ∂(du^y/dτ)/∂y  (transverse tidal)</t>
        </is>
      </c>
      <c r="B12" s="7">
        <f>Jacobian!D10</f>
        <v/>
      </c>
      <c r="C12" s="5" t="inlineStr">
        <is>
          <t>1/[m²]</t>
        </is>
      </c>
      <c r="D12" s="5">
        <f> −M/r₀³  (restoring tidal in orbital direction)</f>
        <v/>
      </c>
    </row>
    <row r="13">
      <c r="A13" s="5" t="inlineStr">
        <is>
          <t>K_zz = ∂(du^z/dτ)/∂z  (vertical tidal)</t>
        </is>
      </c>
      <c r="B13" s="7">
        <f>Jacobian!E11</f>
        <v/>
      </c>
      <c r="C13" s="5" t="inlineStr">
        <is>
          <t>1/[m²]</t>
        </is>
      </c>
      <c r="D13" s="5">
        <f> −M/r₀³  (restoring tidal perpendicular to plane)</f>
        <v/>
      </c>
    </row>
    <row r="14">
      <c r="A14" s="5" t="inlineStr">
        <is>
          <t>Tr(K) = K_xx + K_yy + K_zz  (should ≈ 0, Laplace eq.)</t>
        </is>
      </c>
      <c r="B14" s="7">
        <f>B11+B12+B13</f>
        <v/>
      </c>
      <c r="C14" s="5" t="inlineStr">
        <is>
          <t>1/[m²]</t>
        </is>
      </c>
      <c r="D14" s="5" t="inlineStr">
        <is>
          <t>Tr(K) = 0 away from source: ∇²Φ = 0 (vacuum Poisson eq.)</t>
        </is>
      </c>
    </row>
    <row r="15" ht="18" customHeight="1">
      <c r="A15" s="2" t="inlineStr">
        <is>
          <t>Orbital Frequency Cross-Check</t>
        </is>
      </c>
    </row>
    <row r="16">
      <c r="A16" s="5" t="inlineStr">
        <is>
          <t>ω² (Newtonian) = GM/r₀³ = Φ_x/r₀²</t>
        </is>
      </c>
      <c r="B16" s="7">
        <f>Parameters!B3*Parameters!B5/Parameters!B13^3</f>
        <v/>
      </c>
      <c r="C16" s="5" t="inlineStr">
        <is>
          <t>1/[m²]</t>
        </is>
      </c>
      <c r="D16" s="5" t="inlineStr">
        <is>
          <t>Newtonian orbital angular frequency squared</t>
        </is>
      </c>
    </row>
    <row r="17">
      <c r="A17" s="5" t="inlineStr">
        <is>
          <t>Epicyclic freq² κ² ≈ 4ω² − ∂²Ω²/∂ln r · ω²</t>
        </is>
      </c>
      <c r="B17" s="7">
        <f>4*B16-3*B16</f>
        <v/>
      </c>
      <c r="C17" s="5" t="inlineStr">
        <is>
          <t>1/[m²]</t>
        </is>
      </c>
      <c r="D17" s="5" t="inlineStr">
        <is>
          <t>For Keplerian orbit: κ² = ω²  (confirmed by J₇₃ = −M/r₀³ = −ω²)</t>
        </is>
      </c>
    </row>
    <row r="18">
      <c r="A18" s="5" t="inlineStr">
        <is>
          <t>Vertical freq² ν² = GM/r₀³</t>
        </is>
      </c>
      <c r="B18" s="7">
        <f>Parameters!B3*Parameters!B5/Parameters!B13^3</f>
        <v/>
      </c>
      <c r="C18" s="5" t="inlineStr">
        <is>
          <t>1/[m²]</t>
        </is>
      </c>
      <c r="D18" s="5" t="inlineStr">
        <is>
          <t>Oscillation frequency perpendicular to orbital plane; equals K_zz magnitude</t>
        </is>
      </c>
    </row>
    <row r="19" ht="18" customHeight="1">
      <c r="A19" s="2" t="inlineStr">
        <is>
          <t>TEGR Torsion Coupling Strengths (Row 10 of Jacobian)</t>
        </is>
      </c>
    </row>
    <row r="20">
      <c r="A20" s="5" t="inlineStr">
        <is>
          <t>J₁₀,₅ = ∂(d²T/dτ²)/∂u^t</t>
        </is>
      </c>
      <c r="B20" s="7">
        <f>Jacobian!F13</f>
        <v/>
      </c>
      <c r="C20" s="5" t="inlineStr">
        <is>
          <t>1/[m³]</t>
        </is>
      </c>
      <c r="D20" s="5" t="inlineStr">
        <is>
          <t>Torsion acceleration sensitivity to u^t; = −2 T_x Φ_x u^t</t>
        </is>
      </c>
    </row>
    <row r="21">
      <c r="A21" s="5" t="inlineStr">
        <is>
          <t>J₁₀,₇ = ∂(d²T/dτ²)/∂u^y  (dominant torsion coupling)</t>
        </is>
      </c>
      <c r="B21" s="7">
        <f>Jacobian!H13</f>
        <v/>
      </c>
      <c r="C21" s="5" t="inlineStr">
        <is>
          <t>1/[m³]</t>
        </is>
      </c>
      <c r="D21" s="5">
        <f> 2 T_yy u^y + T_x J₆₇  — torsion response to tangential velocity</f>
        <v/>
      </c>
    </row>
    <row r="22">
      <c r="A22" s="5" t="inlineStr">
        <is>
          <t>J₁₀,₂ = ∂(d²T/dτ²)/∂x  (tidal torsion gradient)</t>
        </is>
      </c>
      <c r="B22" s="7">
        <f>Jacobian!C13</f>
        <v/>
      </c>
      <c r="C22" s="5" t="inlineStr">
        <is>
          <t>1/[m⁴]</t>
        </is>
      </c>
      <c r="D22" s="5">
        <f> (∂T_yy/∂x) u^y² + T_xx f₆ + T_x J₆₂</f>
        <v/>
      </c>
    </row>
    <row r="23" ht="18" customHeight="1">
      <c r="A23" s="2" t="inlineStr">
        <is>
          <t>Summary Table — Non-Zero Jacobian Elements at Default Evaluation Point</t>
        </is>
      </c>
    </row>
    <row r="24">
      <c r="A24" s="9" t="inlineStr">
        <is>
          <t>Element J_{ij}</t>
        </is>
      </c>
      <c r="B24" s="9" t="inlineStr">
        <is>
          <t>Row i  (equation)</t>
        </is>
      </c>
      <c r="C24" s="9" t="inlineStr">
        <is>
          <t>Col j  (variable)</t>
        </is>
      </c>
      <c r="D24" s="9" t="inlineStr">
        <is>
          <t>Numerical Value</t>
        </is>
      </c>
      <c r="E24" s="9" t="inlineStr">
        <is>
          <t>Physical Interpretation</t>
        </is>
      </c>
    </row>
    <row r="25">
      <c r="A25" s="10" t="inlineStr">
        <is>
          <t>J_{1,5}</t>
        </is>
      </c>
      <c r="B25" s="23" t="inlineStr">
        <is>
          <t>f₁=dt/dτ</t>
        </is>
      </c>
      <c r="C25" s="23" t="inlineStr">
        <is>
          <t>u^t</t>
        </is>
      </c>
      <c r="D25" s="13">
        <f>Jacobian!F4</f>
        <v/>
      </c>
      <c r="E25" s="15">
        <f> 1  (identity coupling: dt/dτ = u^t)</f>
        <v/>
      </c>
    </row>
    <row r="26">
      <c r="A26" s="10" t="inlineStr">
        <is>
          <t>J_{2,6}</t>
        </is>
      </c>
      <c r="B26" s="23" t="inlineStr">
        <is>
          <t>f₂=dx/dτ</t>
        </is>
      </c>
      <c r="C26" s="23" t="inlineStr">
        <is>
          <t>u^x</t>
        </is>
      </c>
      <c r="D26" s="13">
        <f>Jacobian!G5</f>
        <v/>
      </c>
      <c r="E26" s="15">
        <f> 1  (identity coupling: dx/dτ = u^x)</f>
        <v/>
      </c>
    </row>
    <row r="27">
      <c r="A27" s="10" t="inlineStr">
        <is>
          <t>J_{3,7}</t>
        </is>
      </c>
      <c r="B27" s="23" t="inlineStr">
        <is>
          <t>f₃=dy/dτ</t>
        </is>
      </c>
      <c r="C27" s="23" t="inlineStr">
        <is>
          <t>u^y</t>
        </is>
      </c>
      <c r="D27" s="13">
        <f>Jacobian!H6</f>
        <v/>
      </c>
      <c r="E27" s="15">
        <f> 1  (identity coupling: dy/dτ = u^y)</f>
        <v/>
      </c>
    </row>
    <row r="28">
      <c r="A28" s="10" t="inlineStr">
        <is>
          <t>J_{4,8}</t>
        </is>
      </c>
      <c r="B28" s="23" t="inlineStr">
        <is>
          <t>f₄=dz/dτ</t>
        </is>
      </c>
      <c r="C28" s="23" t="inlineStr">
        <is>
          <t>u^z</t>
        </is>
      </c>
      <c r="D28" s="13">
        <f>Jacobian!I7</f>
        <v/>
      </c>
      <c r="E28" s="15">
        <f> 1  (identity coupling: dz/dτ = u^z)</f>
        <v/>
      </c>
    </row>
    <row r="29">
      <c r="A29" s="10" t="inlineStr">
        <is>
          <t>J_{5,6}</t>
        </is>
      </c>
      <c r="B29" s="23" t="inlineStr">
        <is>
          <t>f₅=du^t/dτ</t>
        </is>
      </c>
      <c r="C29" s="23" t="inlineStr">
        <is>
          <t>u^x</t>
        </is>
      </c>
      <c r="D29" s="13">
        <f>Jacobian!G8</f>
        <v/>
      </c>
      <c r="E29" s="15">
        <f> −2γΦ_x  (gravitomagnetic time dilation)</f>
        <v/>
      </c>
    </row>
    <row r="30">
      <c r="A30" s="10" t="inlineStr">
        <is>
          <t>J_{5,7}</t>
        </is>
      </c>
      <c r="B30" s="23" t="inlineStr">
        <is>
          <t>f₅=du^t/dτ</t>
        </is>
      </c>
      <c r="C30" s="23" t="inlineStr">
        <is>
          <t>u^y</t>
        </is>
      </c>
      <c r="D30" s="13">
        <f>Jacobian!H8</f>
        <v/>
      </c>
      <c r="E30" s="15">
        <f> −2γΦ_y = 0  (zero by symmetry at y₀=0)</f>
        <v/>
      </c>
    </row>
    <row r="31">
      <c r="A31" s="10" t="inlineStr">
        <is>
          <t>J_{6,2}</t>
        </is>
      </c>
      <c r="B31" s="23" t="inlineStr">
        <is>
          <t>f₆=du^x/dτ</t>
        </is>
      </c>
      <c r="C31" s="23" t="inlineStr">
        <is>
          <t>x</t>
        </is>
      </c>
      <c r="D31" s="13">
        <f>Jacobian!C9</f>
        <v/>
      </c>
      <c r="E31" s="15" t="inlineStr">
        <is>
          <t>Tidal: −Φ_xx(γ²+γ²v²) = 2M(1+v²)γ²/r₀³</t>
        </is>
      </c>
    </row>
    <row r="32">
      <c r="A32" s="10" t="inlineStr">
        <is>
          <t>J_{6,5}</t>
        </is>
      </c>
      <c r="B32" s="23" t="inlineStr">
        <is>
          <t>f₆=du^x/dτ</t>
        </is>
      </c>
      <c r="C32" s="23" t="inlineStr">
        <is>
          <t>u^t</t>
        </is>
      </c>
      <c r="D32" s="13">
        <f>Jacobian!F9</f>
        <v/>
      </c>
      <c r="E32" s="15">
        <f> −2Φ_x u^t  (gravitoelectric force coupling)</f>
        <v/>
      </c>
    </row>
    <row r="33">
      <c r="A33" s="10" t="inlineStr">
        <is>
          <t>J_{6,7}</t>
        </is>
      </c>
      <c r="B33" s="23" t="inlineStr">
        <is>
          <t>f₆=du^x/dτ</t>
        </is>
      </c>
      <c r="C33" s="23" t="inlineStr">
        <is>
          <t>u^y</t>
        </is>
      </c>
      <c r="D33" s="13">
        <f>Jacobian!H9</f>
        <v/>
      </c>
      <c r="E33" s="15">
        <f> −2Φ_x u^y  (Coriolis-like term)</f>
        <v/>
      </c>
    </row>
    <row r="34">
      <c r="A34" s="10" t="inlineStr">
        <is>
          <t>J_{7,3}</t>
        </is>
      </c>
      <c r="B34" s="23" t="inlineStr">
        <is>
          <t>f₇=du^y/dτ</t>
        </is>
      </c>
      <c r="C34" s="23" t="inlineStr">
        <is>
          <t>y</t>
        </is>
      </c>
      <c r="D34" s="13">
        <f>Jacobian!D10</f>
        <v/>
      </c>
      <c r="E34" s="15" t="inlineStr">
        <is>
          <t>Tidal: −Φ_yy(γ²−γ²v²) = −M/r₀³ (restoring)</t>
        </is>
      </c>
    </row>
    <row r="35">
      <c r="A35" s="10" t="inlineStr">
        <is>
          <t>J_{7,6}</t>
        </is>
      </c>
      <c r="B35" s="23" t="inlineStr">
        <is>
          <t>f₇=du^y/dτ</t>
        </is>
      </c>
      <c r="C35" s="23" t="inlineStr">
        <is>
          <t>u^x</t>
        </is>
      </c>
      <c r="D35" s="13">
        <f>Jacobian!G10</f>
        <v/>
      </c>
      <c r="E35" s="15">
        <f> 2Φ_x u^y  (Coriolis-like term)</f>
        <v/>
      </c>
    </row>
    <row r="36">
      <c r="A36" s="10" t="inlineStr">
        <is>
          <t>J_{8,4}</t>
        </is>
      </c>
      <c r="B36" s="23" t="inlineStr">
        <is>
          <t>f₈=du^z/dτ</t>
        </is>
      </c>
      <c r="C36" s="23" t="inlineStr">
        <is>
          <t>z</t>
        </is>
      </c>
      <c r="D36" s="13">
        <f>Jacobian!E11</f>
        <v/>
      </c>
      <c r="E36" s="15" t="inlineStr">
        <is>
          <t>Tidal: −Φ_zz(γ²+γ²v²) = −M(1+v²)γ²/r₀³</t>
        </is>
      </c>
    </row>
    <row r="37">
      <c r="A37" s="10" t="inlineStr">
        <is>
          <t>J_{9,10}</t>
        </is>
      </c>
      <c r="B37" s="23" t="inlineStr">
        <is>
          <t>f₉=dT/dτ</t>
        </is>
      </c>
      <c r="C37" s="23" t="inlineStr">
        <is>
          <t>Ṫ</t>
        </is>
      </c>
      <c r="D37" s="13">
        <f>Jacobian!K12</f>
        <v/>
      </c>
      <c r="E37" s="15">
        <f> 1  (torsion rate kinematic equation)</f>
        <v/>
      </c>
    </row>
    <row r="38">
      <c r="A38" s="10" t="inlineStr">
        <is>
          <t>J_{10,2}</t>
        </is>
      </c>
      <c r="B38" s="23" t="inlineStr">
        <is>
          <t>f₁₀=d²T/dτ²</t>
        </is>
      </c>
      <c r="C38" s="23" t="inlineStr">
        <is>
          <t>x</t>
        </is>
      </c>
      <c r="D38" s="13">
        <f>Jacobian!C13</f>
        <v/>
      </c>
      <c r="E38" s="15" t="inlineStr">
        <is>
          <t>Torsion-tidal coupling along x</t>
        </is>
      </c>
    </row>
    <row r="39">
      <c r="A39" s="10" t="inlineStr">
        <is>
          <t>J_{10,5}</t>
        </is>
      </c>
      <c r="B39" s="23" t="inlineStr">
        <is>
          <t>f₁₀=d²T/dτ²</t>
        </is>
      </c>
      <c r="C39" s="23" t="inlineStr">
        <is>
          <t>u^t</t>
        </is>
      </c>
      <c r="D39" s="13">
        <f>Jacobian!F13</f>
        <v/>
      </c>
      <c r="E39" s="15">
        <f> −2 T_x Φ_x u^t  (time-dilation torsion)</f>
        <v/>
      </c>
    </row>
    <row r="40">
      <c r="A40" s="10" t="inlineStr">
        <is>
          <t>J_{10,7}</t>
        </is>
      </c>
      <c r="B40" s="23" t="inlineStr">
        <is>
          <t>f₁₀=d²T/dτ²</t>
        </is>
      </c>
      <c r="C40" s="23" t="inlineStr">
        <is>
          <t>u^y</t>
        </is>
      </c>
      <c r="D40" s="13">
        <f>Jacobian!H13</f>
        <v/>
      </c>
      <c r="E40" s="15">
        <f> 2T_yy u^y + T_x J₆₇  (dominant TEGR coupling)</f>
        <v/>
      </c>
    </row>
  </sheetData>
  <mergeCells count="7">
    <mergeCell ref="A1:D1"/>
    <mergeCell ref="A23:D23"/>
    <mergeCell ref="A6:D6"/>
    <mergeCell ref="A15:D15"/>
    <mergeCell ref="A2:D2"/>
    <mergeCell ref="A19:D19"/>
    <mergeCell ref="A10:D10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2026-07-08T22:52:08Z</dcterms:created>
  <dcterms:modified xsi:type="dcterms:W3CDTF">2026-07-08T22:52:08Z</dcterms:modified>
</cp:coreProperties>
</file>